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IFRS" sheetId="1" state="visible" r:id="rId3"/>
    <sheet name="Calcu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<sst xmlns="http://schemas.openxmlformats.org/spreadsheetml/2006/main" count="116" uniqueCount="94">
  <si>
    <t xml:space="preserve">Bilan IFRS — Exercice 2</t>
  </si>
  <si>
    <t xml:space="preserve">Société « X » (cotée en bourse) — au 31/12/2014 (montants nets, en dirhams marocains) — présentation IAS 1 courant / non courant</t>
  </si>
  <si>
    <t xml:space="preserve">Référence</t>
  </si>
  <si>
    <t xml:space="preserve">Poste</t>
  </si>
  <si>
    <t xml:space="preserve">Montant net</t>
  </si>
  <si>
    <t xml:space="preserve">ACTIFS NON COURANTS</t>
  </si>
  <si>
    <t xml:space="preserve">IAS 16</t>
  </si>
  <si>
    <t xml:space="preserve">Immobilisations corporelles (terrains, ITMO, transport, mobilier)</t>
  </si>
  <si>
    <t xml:space="preserve">IAS 40</t>
  </si>
  <si>
    <t xml:space="preserve">Immeubles de placement (constructions louées à des tiers)</t>
  </si>
  <si>
    <t xml:space="preserve">IAS 38</t>
  </si>
  <si>
    <t xml:space="preserve">Immobilisations incorporelles (brevets, marques, droits)</t>
  </si>
  <si>
    <t xml:space="preserve">IFRS 9</t>
  </si>
  <si>
    <t xml:space="preserve">Titres de participation</t>
  </si>
  <si>
    <t xml:space="preserve">Prêt à la filiale – part à plus d’un an</t>
  </si>
  <si>
    <t xml:space="preserve">Total actifs non courants</t>
  </si>
  <si>
    <t xml:space="preserve">ACTIFS COURANTS (HORS TRÉSORERIE)</t>
  </si>
  <si>
    <t xml:space="preserve">IAS 2</t>
  </si>
  <si>
    <t xml:space="preserve">Stocks (nets de dépréciation)</t>
  </si>
  <si>
    <t xml:space="preserve">Clients et comptes rattachés (nets de dépréciation)</t>
  </si>
  <si>
    <t xml:space="preserve">IAS 1</t>
  </si>
  <si>
    <t xml:space="preserve">Charges constatées d’avance</t>
  </si>
  <si>
    <t xml:space="preserve">Prêt à la filiale – part à moins d’un an</t>
  </si>
  <si>
    <t xml:space="preserve">Total actifs courants</t>
  </si>
  <si>
    <t xml:space="preserve">TRÉSORERIE ET ÉQUIVALENTS DE TRÉSORERIE</t>
  </si>
  <si>
    <t xml:space="preserve">IAS 7</t>
  </si>
  <si>
    <t xml:space="preserve">Banque</t>
  </si>
  <si>
    <t xml:space="preserve">Caisse</t>
  </si>
  <si>
    <t xml:space="preserve">Total trésorerie – actif</t>
  </si>
  <si>
    <t xml:space="preserve">TOTAL DE L’ACTIF</t>
  </si>
  <si>
    <t xml:space="preserve">CAPITAUX PROPRES – PART DU GROUPE</t>
  </si>
  <si>
    <t xml:space="preserve">Capital social</t>
  </si>
  <si>
    <t xml:space="preserve">Réserve légale</t>
  </si>
  <si>
    <t xml:space="preserve">Autres réserves</t>
  </si>
  <si>
    <t xml:space="preserve">Résultat net de l’exercice – part du groupe (perte)</t>
  </si>
  <si>
    <t xml:space="preserve">Total capitaux propres – part du groupe</t>
  </si>
  <si>
    <t xml:space="preserve">INTÉRÊTS MINORITAIRES</t>
  </si>
  <si>
    <t xml:space="preserve">IFRS 10</t>
  </si>
  <si>
    <t xml:space="preserve">Réserves des minoritaires</t>
  </si>
  <si>
    <t xml:space="preserve">Résultat net – part des minoritaires (20 %)</t>
  </si>
  <si>
    <t xml:space="preserve">Total intérêts minoritaires</t>
  </si>
  <si>
    <t xml:space="preserve">Total capitaux propres (y compris minoritaires)</t>
  </si>
  <si>
    <t xml:space="preserve">PASSIFS NON COURANTS</t>
  </si>
  <si>
    <t xml:space="preserve">Emprunts auprès des établissements de crédit – part à plus d’un an</t>
  </si>
  <si>
    <t xml:space="preserve">Total passifs non courants</t>
  </si>
  <si>
    <t xml:space="preserve">PASSIFS COURANTS</t>
  </si>
  <si>
    <t xml:space="preserve">Emprunts auprès des établissements de crédit – part à moins d’un an</t>
  </si>
  <si>
    <t xml:space="preserve">IAS 37</t>
  </si>
  <si>
    <t xml:space="preserve">Provisions pour risques et charges (litige salarié, décision dans 4 mois)</t>
  </si>
  <si>
    <t xml:space="preserve">Fournisseurs et comptes rattachés</t>
  </si>
  <si>
    <t xml:space="preserve">État, créditeur</t>
  </si>
  <si>
    <t xml:space="preserve">Total passifs courants</t>
  </si>
  <si>
    <t xml:space="preserve">TOTAL DU PASSIF (capitaux propres + passifs)</t>
  </si>
  <si>
    <t xml:space="preserve">Contrôle : Total actif – Total passif (doit être égal à 0)</t>
  </si>
  <si>
    <t xml:space="preserve">Hypothèses de classement : (1) constructions louées à des tiers = immeubles de placement (IAS 40), et non immobilisations corporelles ; (2) créances d’exploitation &gt; 12 mois (200 000 DH) maintenues en courant car liées au cycle d’exploitation (IAS 1.66) ;</t>
  </si>
  <si>
    <t xml:space="preserve">(3) provision pour litige salarié = passif courant (décision attendue dans 4 mois) ; (4) EAEC : 300 000 DH à moins d’un an, 900 000 DH à plus d’un an ; (5) résultat = perte déterminée par équilibre du bilan (détail dans l’onglet « Calculs »). Vert = lien vers l’onglet « Calculs ».</t>
  </si>
  <si>
    <t xml:space="preserve">Calculs préparatoires — Exercice 2 (IAS/IFRS)</t>
  </si>
  <si>
    <t xml:space="preserve">Société « X » — au 31/12/2014 — montants en dirhams (MAD). Texte bleu = données de l’énoncé ; noir = formules.</t>
  </si>
  <si>
    <t xml:space="preserve">Poste (énoncé)</t>
  </si>
  <si>
    <t xml:space="preserve">Brut</t>
  </si>
  <si>
    <t xml:space="preserve">Amort. / Prov.</t>
  </si>
  <si>
    <t xml:space="preserve">Net</t>
  </si>
  <si>
    <t xml:space="preserve">ACTIF</t>
  </si>
  <si>
    <t xml:space="preserve">Brevets, marques, droits et valeurs similaires</t>
  </si>
  <si>
    <t xml:space="preserve">Terrains bâtis</t>
  </si>
  <si>
    <t xml:space="preserve">Constructions (immeuble mis en location à des tiers)</t>
  </si>
  <si>
    <t xml:space="preserve">ITMO (installations techniques, matériel et outillage)</t>
  </si>
  <si>
    <t xml:space="preserve">Matériel de transport</t>
  </si>
  <si>
    <t xml:space="preserve">Mobilier, matériel de bureau et matériel informatique</t>
  </si>
  <si>
    <t xml:space="preserve">Immobilisations financières – titres de participation</t>
  </si>
  <si>
    <t xml:space="preserve">Immobilisations financières – prêt à une filiale</t>
  </si>
  <si>
    <t xml:space="preserve">Stocks de matières et fournitures consommables</t>
  </si>
  <si>
    <t xml:space="preserve">Stocks de produits en cours</t>
  </si>
  <si>
    <t xml:space="preserve">Stocks de produits finis</t>
  </si>
  <si>
    <t xml:space="preserve">Clients et comptes rattachés</t>
  </si>
  <si>
    <t xml:space="preserve">Banque (solde débiteur)</t>
  </si>
  <si>
    <t xml:space="preserve">Total actif net</t>
  </si>
  <si>
    <t xml:space="preserve">CAPITAUX PROPRES ET DETTES (hors résultat)</t>
  </si>
  <si>
    <t xml:space="preserve">Emprunts auprès des établissements de crédit</t>
  </si>
  <si>
    <t xml:space="preserve">Provisions pour risques et charges (litige avec un salarié)</t>
  </si>
  <si>
    <t xml:space="preserve">Total hors résultat</t>
  </si>
  <si>
    <t xml:space="preserve">INFORMATIONS COMPLÉMENTAIRES (énoncé)</t>
  </si>
  <si>
    <t xml:space="preserve">Prêt à la filiale – part remboursable en juin 2015 (&lt; 12 mois)</t>
  </si>
  <si>
    <t xml:space="preserve">Emprunts (EAEC) – part remboursable à moins de 12 mois</t>
  </si>
  <si>
    <t xml:space="preserve">Part des intérêts minoritaires dans le résultat</t>
  </si>
  <si>
    <t xml:space="preserve">Créances clients à échéance &gt; 12 mois (information : restent courantes)</t>
  </si>
  <si>
    <t xml:space="preserve">DÉTERMINATION DU RÉSULTAT NET (solde débiteur = perte)</t>
  </si>
  <si>
    <t xml:space="preserve">Dettes et provisions (emprunts, provisions, fournisseurs, État)</t>
  </si>
  <si>
    <t xml:space="preserve">Capitaux propres hors résultat</t>
  </si>
  <si>
    <t xml:space="preserve">Capitaux propres nécessaires pour équilibrer (Actif – dettes)</t>
  </si>
  <si>
    <t xml:space="preserve">Résultat net de l’exercice, y c. minoritaires</t>
  </si>
  <si>
    <t xml:space="preserve">  dont part des minoritaires (20 %)</t>
  </si>
  <si>
    <t xml:space="preserve">  dont part du groupe</t>
  </si>
  <si>
    <t xml:space="preserve">Le résultat est la valeur qui équilibre le bilan : l’énoncé indique un solde débiteur, donc une perte (valeur négative).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</si>
</sst>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MAD&quot;;\-#,##0&quot; MAD&quot;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C3AED"/>
      <name val="Calibri"/>
      <family val="0"/>
      <charset val="1"/>
    </font>
    <font>
      <i val="true"/>
      <sz val="9.5"/>
      <color rgb="FF6B72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7C3AED"/>
      <name val="Calibri"/>
      <family val="0"/>
      <charset val="1"/>
    </font>
    <font>
      <sz val="11"/>
      <color rgb="FF6B7280"/>
      <name val="Calibri"/>
      <family val="0"/>
      <charset val="1"/>
    </font>
    <font>
      <sz val="11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1"/>
      <color rgb="FF7C3AED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i val="true"/>
      <sz val="8"/>
      <color rgb="FF6B728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F1EBF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1EBF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20"/>
  </cols>
  <sheetData>
    <row r="1" customFormat="false" ht="18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</row>
    <row r="5" customFormat="false" ht="15" hidden="false" customHeight="false" outlineLevel="0" collapsed="false">
      <c r="A5" s="5"/>
      <c r="B5" s="6" t="s">
        <v>5</v>
      </c>
      <c r="C5" s="5"/>
    </row>
    <row r="6" customFormat="false" ht="15" hidden="false" customHeight="false" outlineLevel="0" collapsed="false">
      <c r="A6" s="7" t="s">
        <v>6</v>
      </c>
      <c r="B6" s="8" t="s">
        <v>7</v>
      </c>
      <c r="C6" s="9" t="n">
        <f aca="false">Calculs!D7+Calculs!D9+Calculs!D10+Calculs!D11</f>
        <v>5000000</v>
      </c>
    </row>
    <row r="7" customFormat="false" ht="15" hidden="false" customHeight="false" outlineLevel="0" collapsed="false">
      <c r="A7" s="7" t="s">
        <v>8</v>
      </c>
      <c r="B7" s="8" t="s">
        <v>9</v>
      </c>
      <c r="C7" s="9" t="n">
        <f aca="false">Calculs!D8</f>
        <v>1280000</v>
      </c>
    </row>
    <row r="8" customFormat="false" ht="15" hidden="false" customHeight="false" outlineLevel="0" collapsed="false">
      <c r="A8" s="7" t="s">
        <v>10</v>
      </c>
      <c r="B8" s="8" t="s">
        <v>11</v>
      </c>
      <c r="C8" s="9" t="n">
        <f aca="false">Calculs!D6</f>
        <v>1120000</v>
      </c>
    </row>
    <row r="9" customFormat="false" ht="15" hidden="false" customHeight="false" outlineLevel="0" collapsed="false">
      <c r="A9" s="7" t="s">
        <v>12</v>
      </c>
      <c r="B9" s="8" t="s">
        <v>13</v>
      </c>
      <c r="C9" s="9" t="n">
        <f aca="false">Calculs!D12</f>
        <v>1000000</v>
      </c>
    </row>
    <row r="10" customFormat="false" ht="15" hidden="false" customHeight="false" outlineLevel="0" collapsed="false">
      <c r="A10" s="7" t="s">
        <v>12</v>
      </c>
      <c r="B10" s="8" t="s">
        <v>14</v>
      </c>
      <c r="C10" s="9" t="n">
        <f aca="false">Calculs!D13-Calculs!D35</f>
        <v>500000</v>
      </c>
    </row>
    <row r="11" customFormat="false" ht="15" hidden="false" customHeight="false" outlineLevel="0" collapsed="false">
      <c r="A11" s="10"/>
      <c r="B11" s="10" t="s">
        <v>15</v>
      </c>
      <c r="C11" s="11" t="n">
        <f aca="false">SUM(C6:C10)</f>
        <v>8900000</v>
      </c>
    </row>
    <row r="12" customFormat="false" ht="15" hidden="false" customHeight="false" outlineLevel="0" collapsed="false">
      <c r="A12" s="5"/>
      <c r="B12" s="6" t="s">
        <v>16</v>
      </c>
      <c r="C12" s="5"/>
    </row>
    <row r="13" customFormat="false" ht="15" hidden="false" customHeight="false" outlineLevel="0" collapsed="false">
      <c r="A13" s="7" t="s">
        <v>17</v>
      </c>
      <c r="B13" s="8" t="s">
        <v>18</v>
      </c>
      <c r="C13" s="9" t="n">
        <f aca="false">Calculs!D14+Calculs!D15+Calculs!D16</f>
        <v>775000</v>
      </c>
    </row>
    <row r="14" customFormat="false" ht="15" hidden="false" customHeight="false" outlineLevel="0" collapsed="false">
      <c r="A14" s="7" t="s">
        <v>12</v>
      </c>
      <c r="B14" s="8" t="s">
        <v>19</v>
      </c>
      <c r="C14" s="9" t="n">
        <f aca="false">Calculs!D17</f>
        <v>2650000</v>
      </c>
    </row>
    <row r="15" customFormat="false" ht="15" hidden="false" customHeight="false" outlineLevel="0" collapsed="false">
      <c r="A15" s="7" t="s">
        <v>20</v>
      </c>
      <c r="B15" s="8" t="s">
        <v>21</v>
      </c>
      <c r="C15" s="9" t="n">
        <f aca="false">Calculs!D18</f>
        <v>18000</v>
      </c>
    </row>
    <row r="16" customFormat="false" ht="15" hidden="false" customHeight="false" outlineLevel="0" collapsed="false">
      <c r="A16" s="7" t="s">
        <v>12</v>
      </c>
      <c r="B16" s="8" t="s">
        <v>22</v>
      </c>
      <c r="C16" s="9" t="n">
        <f aca="false">Calculs!D35</f>
        <v>200000</v>
      </c>
    </row>
    <row r="17" customFormat="false" ht="15" hidden="false" customHeight="false" outlineLevel="0" collapsed="false">
      <c r="A17" s="10"/>
      <c r="B17" s="10" t="s">
        <v>23</v>
      </c>
      <c r="C17" s="11" t="n">
        <f aca="false">SUM(C13:C16)</f>
        <v>3643000</v>
      </c>
    </row>
    <row r="18" customFormat="false" ht="15" hidden="false" customHeight="false" outlineLevel="0" collapsed="false">
      <c r="A18" s="5"/>
      <c r="B18" s="6" t="s">
        <v>24</v>
      </c>
      <c r="C18" s="5"/>
    </row>
    <row r="19" customFormat="false" ht="15" hidden="false" customHeight="false" outlineLevel="0" collapsed="false">
      <c r="A19" s="7" t="s">
        <v>25</v>
      </c>
      <c r="B19" s="8" t="s">
        <v>26</v>
      </c>
      <c r="C19" s="9" t="n">
        <f aca="false">Calculs!D19</f>
        <v>1200000</v>
      </c>
    </row>
    <row r="20" customFormat="false" ht="15" hidden="false" customHeight="false" outlineLevel="0" collapsed="false">
      <c r="A20" s="7" t="s">
        <v>25</v>
      </c>
      <c r="B20" s="8" t="s">
        <v>27</v>
      </c>
      <c r="C20" s="9" t="n">
        <f aca="false">Calculs!D20</f>
        <v>250000</v>
      </c>
    </row>
    <row r="21" customFormat="false" ht="15" hidden="false" customHeight="false" outlineLevel="0" collapsed="false">
      <c r="A21" s="10"/>
      <c r="B21" s="10" t="s">
        <v>28</v>
      </c>
      <c r="C21" s="11" t="n">
        <f aca="false">SUM(C19:C20)</f>
        <v>1450000</v>
      </c>
    </row>
    <row r="22" customFormat="false" ht="15" hidden="false" customHeight="false" outlineLevel="0" collapsed="false">
      <c r="A22" s="12"/>
      <c r="B22" s="12" t="s">
        <v>29</v>
      </c>
      <c r="C22" s="13" t="n">
        <f aca="false">C11+C17+C21</f>
        <v>13993000</v>
      </c>
    </row>
    <row r="24" customFormat="false" ht="15" hidden="false" customHeight="false" outlineLevel="0" collapsed="false">
      <c r="A24" s="5"/>
      <c r="B24" s="6" t="s">
        <v>30</v>
      </c>
      <c r="C24" s="5"/>
    </row>
    <row r="25" customFormat="false" ht="15" hidden="false" customHeight="false" outlineLevel="0" collapsed="false">
      <c r="A25" s="7" t="s">
        <v>20</v>
      </c>
      <c r="B25" s="8" t="s">
        <v>31</v>
      </c>
      <c r="C25" s="9" t="n">
        <f aca="false">Calculs!D24</f>
        <v>9000000</v>
      </c>
    </row>
    <row r="26" customFormat="false" ht="15" hidden="false" customHeight="false" outlineLevel="0" collapsed="false">
      <c r="A26" s="7" t="s">
        <v>20</v>
      </c>
      <c r="B26" s="8" t="s">
        <v>32</v>
      </c>
      <c r="C26" s="9" t="n">
        <f aca="false">Calculs!D25</f>
        <v>900000</v>
      </c>
    </row>
    <row r="27" customFormat="false" ht="15" hidden="false" customHeight="false" outlineLevel="0" collapsed="false">
      <c r="A27" s="7" t="s">
        <v>20</v>
      </c>
      <c r="B27" s="8" t="s">
        <v>33</v>
      </c>
      <c r="C27" s="9" t="n">
        <f aca="false">Calculs!D26</f>
        <v>1500000</v>
      </c>
    </row>
    <row r="28" customFormat="false" ht="15" hidden="false" customHeight="false" outlineLevel="0" collapsed="false">
      <c r="A28" s="7" t="s">
        <v>20</v>
      </c>
      <c r="B28" s="8" t="s">
        <v>34</v>
      </c>
      <c r="C28" s="9" t="n">
        <f aca="false">Calculs!D47</f>
        <v>-1389600</v>
      </c>
    </row>
    <row r="29" customFormat="false" ht="15" hidden="false" customHeight="false" outlineLevel="0" collapsed="false">
      <c r="A29" s="10"/>
      <c r="B29" s="10" t="s">
        <v>35</v>
      </c>
      <c r="C29" s="11" t="n">
        <f aca="false">SUM(C25:C28)</f>
        <v>10010400</v>
      </c>
    </row>
    <row r="30" customFormat="false" ht="15" hidden="false" customHeight="false" outlineLevel="0" collapsed="false">
      <c r="A30" s="5"/>
      <c r="B30" s="6" t="s">
        <v>36</v>
      </c>
      <c r="C30" s="5"/>
    </row>
    <row r="31" customFormat="false" ht="15" hidden="false" customHeight="false" outlineLevel="0" collapsed="false">
      <c r="A31" s="7" t="s">
        <v>37</v>
      </c>
      <c r="B31" s="8" t="s">
        <v>38</v>
      </c>
      <c r="C31" s="9" t="n">
        <f aca="false">Calculs!D27</f>
        <v>1000000</v>
      </c>
    </row>
    <row r="32" customFormat="false" ht="15" hidden="false" customHeight="false" outlineLevel="0" collapsed="false">
      <c r="A32" s="7" t="s">
        <v>37</v>
      </c>
      <c r="B32" s="8" t="s">
        <v>39</v>
      </c>
      <c r="C32" s="9" t="n">
        <f aca="false">Calculs!D46</f>
        <v>-347400</v>
      </c>
    </row>
    <row r="33" customFormat="false" ht="15" hidden="false" customHeight="false" outlineLevel="0" collapsed="false">
      <c r="A33" s="10"/>
      <c r="B33" s="10" t="s">
        <v>40</v>
      </c>
      <c r="C33" s="11" t="n">
        <f aca="false">SUM(C31:C32)</f>
        <v>652600</v>
      </c>
    </row>
    <row r="34" customFormat="false" ht="15" hidden="false" customHeight="false" outlineLevel="0" collapsed="false">
      <c r="A34" s="10"/>
      <c r="B34" s="10" t="s">
        <v>41</v>
      </c>
      <c r="C34" s="11" t="n">
        <f aca="false">C29+C33</f>
        <v>10663000</v>
      </c>
    </row>
    <row r="35" customFormat="false" ht="15" hidden="false" customHeight="false" outlineLevel="0" collapsed="false">
      <c r="A35" s="5"/>
      <c r="B35" s="6" t="s">
        <v>42</v>
      </c>
      <c r="C35" s="5"/>
    </row>
    <row r="36" customFormat="false" ht="15" hidden="false" customHeight="false" outlineLevel="0" collapsed="false">
      <c r="A36" s="7" t="s">
        <v>12</v>
      </c>
      <c r="B36" s="8" t="s">
        <v>43</v>
      </c>
      <c r="C36" s="9" t="n">
        <f aca="false">Calculs!D28-Calculs!D36</f>
        <v>900000</v>
      </c>
    </row>
    <row r="37" customFormat="false" ht="15" hidden="false" customHeight="false" outlineLevel="0" collapsed="false">
      <c r="A37" s="10"/>
      <c r="B37" s="10" t="s">
        <v>44</v>
      </c>
      <c r="C37" s="11" t="n">
        <f aca="false">SUM(C36:C36)</f>
        <v>900000</v>
      </c>
    </row>
    <row r="38" customFormat="false" ht="15" hidden="false" customHeight="false" outlineLevel="0" collapsed="false">
      <c r="A38" s="5"/>
      <c r="B38" s="6" t="s">
        <v>45</v>
      </c>
      <c r="C38" s="5"/>
    </row>
    <row r="39" customFormat="false" ht="15" hidden="false" customHeight="false" outlineLevel="0" collapsed="false">
      <c r="A39" s="7" t="s">
        <v>12</v>
      </c>
      <c r="B39" s="8" t="s">
        <v>46</v>
      </c>
      <c r="C39" s="9" t="n">
        <f aca="false">Calculs!D36</f>
        <v>300000</v>
      </c>
    </row>
    <row r="40" customFormat="false" ht="15" hidden="false" customHeight="false" outlineLevel="0" collapsed="false">
      <c r="A40" s="7" t="s">
        <v>47</v>
      </c>
      <c r="B40" s="8" t="s">
        <v>48</v>
      </c>
      <c r="C40" s="9" t="n">
        <f aca="false">Calculs!D29</f>
        <v>180000</v>
      </c>
    </row>
    <row r="41" customFormat="false" ht="15" hidden="false" customHeight="false" outlineLevel="0" collapsed="false">
      <c r="A41" s="7" t="s">
        <v>12</v>
      </c>
      <c r="B41" s="8" t="s">
        <v>49</v>
      </c>
      <c r="C41" s="9" t="n">
        <f aca="false">Calculs!D30</f>
        <v>1700000</v>
      </c>
    </row>
    <row r="42" customFormat="false" ht="15" hidden="false" customHeight="false" outlineLevel="0" collapsed="false">
      <c r="A42" s="7" t="s">
        <v>20</v>
      </c>
      <c r="B42" s="8" t="s">
        <v>50</v>
      </c>
      <c r="C42" s="9" t="n">
        <f aca="false">Calculs!D31</f>
        <v>250000</v>
      </c>
    </row>
    <row r="43" customFormat="false" ht="15" hidden="false" customHeight="false" outlineLevel="0" collapsed="false">
      <c r="A43" s="10"/>
      <c r="B43" s="10" t="s">
        <v>51</v>
      </c>
      <c r="C43" s="11" t="n">
        <f aca="false">SUM(C39:C42)</f>
        <v>2430000</v>
      </c>
    </row>
    <row r="44" customFormat="false" ht="15" hidden="false" customHeight="false" outlineLevel="0" collapsed="false">
      <c r="A44" s="12"/>
      <c r="B44" s="12" t="s">
        <v>52</v>
      </c>
      <c r="C44" s="13" t="n">
        <f aca="false">C34+C37+C43</f>
        <v>13993000</v>
      </c>
    </row>
    <row r="46" customFormat="false" ht="15" hidden="false" customHeight="false" outlineLevel="0" collapsed="false">
      <c r="B46" s="14" t="s">
        <v>53</v>
      </c>
      <c r="C46" s="15" t="n">
        <f aca="false">C22-C44</f>
        <v>0</v>
      </c>
    </row>
    <row r="48" customFormat="false" ht="33.75" hidden="false" customHeight="true" outlineLevel="0" collapsed="false">
      <c r="A48" s="16" t="s">
        <v>54</v>
      </c>
      <c r="B48" s="16"/>
      <c r="C48" s="16"/>
    </row>
    <row r="49" customFormat="false" ht="33.75" hidden="false" customHeight="true" outlineLevel="0" collapsed="false">
      <c r="A49" s="16" t="s">
        <v>55</v>
      </c>
      <c r="B49" s="16"/>
      <c r="C49" s="16"/>
    </row>
  </sheetData>
  <mergeCells count="4">
    <mergeCell ref="A1:C1"/>
    <mergeCell ref="A2:C2"/>
    <mergeCell ref="A48:C48"/>
    <mergeCell ref="A49:C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4" min="2" style="0" width="18"/>
  </cols>
  <sheetData>
    <row r="1" customFormat="false" ht="18" hidden="false" customHeight="true" outlineLevel="0" collapsed="false">
      <c r="A1" s="1" t="s">
        <v>56</v>
      </c>
      <c r="B1" s="1"/>
      <c r="C1" s="1"/>
      <c r="D1" s="1"/>
    </row>
    <row r="2" customFormat="false" ht="15" hidden="false" customHeight="false" outlineLevel="0" collapsed="false">
      <c r="A2" s="2" t="s">
        <v>57</v>
      </c>
      <c r="B2" s="2"/>
      <c r="C2" s="2"/>
      <c r="D2" s="2"/>
    </row>
    <row r="4" customFormat="false" ht="15" hidden="false" customHeight="false" outlineLevel="0" collapsed="false">
      <c r="A4" s="3" t="s">
        <v>58</v>
      </c>
      <c r="B4" s="4" t="s">
        <v>59</v>
      </c>
      <c r="C4" s="4" t="s">
        <v>60</v>
      </c>
      <c r="D4" s="4" t="s">
        <v>61</v>
      </c>
    </row>
    <row r="5" customFormat="false" ht="15" hidden="false" customHeight="false" outlineLevel="0" collapsed="false">
      <c r="A5" s="6" t="s">
        <v>62</v>
      </c>
      <c r="B5" s="5"/>
      <c r="C5" s="5"/>
      <c r="D5" s="5"/>
    </row>
    <row r="6" customFormat="false" ht="15" hidden="false" customHeight="false" outlineLevel="0" collapsed="false">
      <c r="A6" s="8" t="s">
        <v>63</v>
      </c>
      <c r="B6" s="17" t="n">
        <v>1400000</v>
      </c>
      <c r="C6" s="17" t="n">
        <v>280000</v>
      </c>
      <c r="D6" s="18" t="n">
        <f aca="false">B6-C6</f>
        <v>1120000</v>
      </c>
    </row>
    <row r="7" customFormat="false" ht="15" hidden="false" customHeight="false" outlineLevel="0" collapsed="false">
      <c r="A7" s="8" t="s">
        <v>64</v>
      </c>
      <c r="B7" s="17" t="n">
        <v>1800000</v>
      </c>
      <c r="C7" s="17" t="n">
        <v>0</v>
      </c>
      <c r="D7" s="18" t="n">
        <f aca="false">B7-C7</f>
        <v>1800000</v>
      </c>
    </row>
    <row r="8" customFormat="false" ht="15" hidden="false" customHeight="false" outlineLevel="0" collapsed="false">
      <c r="A8" s="8" t="s">
        <v>65</v>
      </c>
      <c r="B8" s="17" t="n">
        <v>1600000</v>
      </c>
      <c r="C8" s="17" t="n">
        <v>320000</v>
      </c>
      <c r="D8" s="18" t="n">
        <f aca="false">B8-C8</f>
        <v>1280000</v>
      </c>
    </row>
    <row r="9" customFormat="false" ht="15" hidden="false" customHeight="false" outlineLevel="0" collapsed="false">
      <c r="A9" s="8" t="s">
        <v>66</v>
      </c>
      <c r="B9" s="17" t="n">
        <v>5000000</v>
      </c>
      <c r="C9" s="17" t="n">
        <v>2000000</v>
      </c>
      <c r="D9" s="18" t="n">
        <f aca="false">B9-C9</f>
        <v>3000000</v>
      </c>
    </row>
    <row r="10" customFormat="false" ht="15" hidden="false" customHeight="false" outlineLevel="0" collapsed="false">
      <c r="A10" s="8" t="s">
        <v>67</v>
      </c>
      <c r="B10" s="17" t="n">
        <v>600000</v>
      </c>
      <c r="C10" s="17" t="n">
        <v>480000</v>
      </c>
      <c r="D10" s="18" t="n">
        <f aca="false">B10-C10</f>
        <v>120000</v>
      </c>
    </row>
    <row r="11" customFormat="false" ht="15" hidden="false" customHeight="false" outlineLevel="0" collapsed="false">
      <c r="A11" s="8" t="s">
        <v>68</v>
      </c>
      <c r="B11" s="17" t="n">
        <v>300000</v>
      </c>
      <c r="C11" s="17" t="n">
        <v>220000</v>
      </c>
      <c r="D11" s="18" t="n">
        <f aca="false">B11-C11</f>
        <v>80000</v>
      </c>
    </row>
    <row r="12" customFormat="false" ht="15" hidden="false" customHeight="false" outlineLevel="0" collapsed="false">
      <c r="A12" s="8" t="s">
        <v>69</v>
      </c>
      <c r="B12" s="17" t="n">
        <v>1000000</v>
      </c>
      <c r="C12" s="17" t="n">
        <v>0</v>
      </c>
      <c r="D12" s="18" t="n">
        <f aca="false">B12-C12</f>
        <v>1000000</v>
      </c>
    </row>
    <row r="13" customFormat="false" ht="15" hidden="false" customHeight="false" outlineLevel="0" collapsed="false">
      <c r="A13" s="8" t="s">
        <v>70</v>
      </c>
      <c r="B13" s="17" t="n">
        <v>700000</v>
      </c>
      <c r="C13" s="17" t="n">
        <v>0</v>
      </c>
      <c r="D13" s="18" t="n">
        <f aca="false">B13-C13</f>
        <v>700000</v>
      </c>
    </row>
    <row r="14" customFormat="false" ht="15" hidden="false" customHeight="false" outlineLevel="0" collapsed="false">
      <c r="A14" s="8" t="s">
        <v>71</v>
      </c>
      <c r="B14" s="17" t="n">
        <v>200000</v>
      </c>
      <c r="C14" s="17" t="n">
        <v>0</v>
      </c>
      <c r="D14" s="18" t="n">
        <f aca="false">B14-C14</f>
        <v>200000</v>
      </c>
    </row>
    <row r="15" customFormat="false" ht="15" hidden="false" customHeight="false" outlineLevel="0" collapsed="false">
      <c r="A15" s="8" t="s">
        <v>72</v>
      </c>
      <c r="B15" s="17" t="n">
        <v>100000</v>
      </c>
      <c r="C15" s="17" t="n">
        <v>0</v>
      </c>
      <c r="D15" s="18" t="n">
        <f aca="false">B15-C15</f>
        <v>100000</v>
      </c>
    </row>
    <row r="16" customFormat="false" ht="15" hidden="false" customHeight="false" outlineLevel="0" collapsed="false">
      <c r="A16" s="8" t="s">
        <v>73</v>
      </c>
      <c r="B16" s="17" t="n">
        <v>500000</v>
      </c>
      <c r="C16" s="17" t="n">
        <v>25000</v>
      </c>
      <c r="D16" s="18" t="n">
        <f aca="false">B16-C16</f>
        <v>475000</v>
      </c>
    </row>
    <row r="17" customFormat="false" ht="15" hidden="false" customHeight="false" outlineLevel="0" collapsed="false">
      <c r="A17" s="8" t="s">
        <v>74</v>
      </c>
      <c r="B17" s="17" t="n">
        <v>2800000</v>
      </c>
      <c r="C17" s="17" t="n">
        <v>150000</v>
      </c>
      <c r="D17" s="18" t="n">
        <f aca="false">B17-C17</f>
        <v>2650000</v>
      </c>
    </row>
    <row r="18" customFormat="false" ht="15" hidden="false" customHeight="false" outlineLevel="0" collapsed="false">
      <c r="A18" s="8" t="s">
        <v>21</v>
      </c>
      <c r="B18" s="17" t="n">
        <v>18000</v>
      </c>
      <c r="C18" s="17" t="n">
        <v>0</v>
      </c>
      <c r="D18" s="18" t="n">
        <f aca="false">B18-C18</f>
        <v>18000</v>
      </c>
    </row>
    <row r="19" customFormat="false" ht="15" hidden="false" customHeight="false" outlineLevel="0" collapsed="false">
      <c r="A19" s="8" t="s">
        <v>75</v>
      </c>
      <c r="B19" s="17" t="n">
        <v>1200000</v>
      </c>
      <c r="C19" s="17" t="n">
        <v>0</v>
      </c>
      <c r="D19" s="18" t="n">
        <f aca="false">B19-C19</f>
        <v>1200000</v>
      </c>
    </row>
    <row r="20" customFormat="false" ht="15" hidden="false" customHeight="false" outlineLevel="0" collapsed="false">
      <c r="A20" s="8" t="s">
        <v>27</v>
      </c>
      <c r="B20" s="17" t="n">
        <v>250000</v>
      </c>
      <c r="C20" s="17" t="n">
        <v>0</v>
      </c>
      <c r="D20" s="18" t="n">
        <f aca="false">B20-C20</f>
        <v>250000</v>
      </c>
    </row>
    <row r="21" customFormat="false" ht="15" hidden="false" customHeight="false" outlineLevel="0" collapsed="false">
      <c r="A21" s="10" t="s">
        <v>76</v>
      </c>
      <c r="B21" s="10"/>
      <c r="C21" s="10"/>
      <c r="D21" s="11" t="n">
        <f aca="false">SUM(D6:D20)</f>
        <v>13993000</v>
      </c>
    </row>
    <row r="23" customFormat="false" ht="15" hidden="false" customHeight="false" outlineLevel="0" collapsed="false">
      <c r="A23" s="6" t="s">
        <v>77</v>
      </c>
      <c r="B23" s="5"/>
      <c r="C23" s="5"/>
      <c r="D23" s="5"/>
    </row>
    <row r="24" customFormat="false" ht="15" hidden="false" customHeight="false" outlineLevel="0" collapsed="false">
      <c r="A24" s="8" t="s">
        <v>31</v>
      </c>
      <c r="D24" s="17" t="n">
        <v>9000000</v>
      </c>
    </row>
    <row r="25" customFormat="false" ht="15" hidden="false" customHeight="false" outlineLevel="0" collapsed="false">
      <c r="A25" s="8" t="s">
        <v>32</v>
      </c>
      <c r="D25" s="17" t="n">
        <v>900000</v>
      </c>
    </row>
    <row r="26" customFormat="false" ht="15" hidden="false" customHeight="false" outlineLevel="0" collapsed="false">
      <c r="A26" s="8" t="s">
        <v>33</v>
      </c>
      <c r="D26" s="17" t="n">
        <v>1500000</v>
      </c>
    </row>
    <row r="27" customFormat="false" ht="15" hidden="false" customHeight="false" outlineLevel="0" collapsed="false">
      <c r="A27" s="8" t="s">
        <v>38</v>
      </c>
      <c r="D27" s="17" t="n">
        <v>1000000</v>
      </c>
    </row>
    <row r="28" customFormat="false" ht="15" hidden="false" customHeight="false" outlineLevel="0" collapsed="false">
      <c r="A28" s="8" t="s">
        <v>78</v>
      </c>
      <c r="D28" s="17" t="n">
        <v>1200000</v>
      </c>
    </row>
    <row r="29" customFormat="false" ht="15" hidden="false" customHeight="false" outlineLevel="0" collapsed="false">
      <c r="A29" s="8" t="s">
        <v>79</v>
      </c>
      <c r="D29" s="17" t="n">
        <v>180000</v>
      </c>
    </row>
    <row r="30" customFormat="false" ht="15" hidden="false" customHeight="false" outlineLevel="0" collapsed="false">
      <c r="A30" s="8" t="s">
        <v>49</v>
      </c>
      <c r="D30" s="17" t="n">
        <v>1700000</v>
      </c>
    </row>
    <row r="31" customFormat="false" ht="15" hidden="false" customHeight="false" outlineLevel="0" collapsed="false">
      <c r="A31" s="8" t="s">
        <v>50</v>
      </c>
      <c r="D31" s="17" t="n">
        <v>250000</v>
      </c>
    </row>
    <row r="32" customFormat="false" ht="15" hidden="false" customHeight="false" outlineLevel="0" collapsed="false">
      <c r="A32" s="10" t="s">
        <v>80</v>
      </c>
      <c r="B32" s="10"/>
      <c r="C32" s="10"/>
      <c r="D32" s="11" t="n">
        <f aca="false">SUM(D24:D31)</f>
        <v>15730000</v>
      </c>
    </row>
    <row r="34" customFormat="false" ht="15" hidden="false" customHeight="false" outlineLevel="0" collapsed="false">
      <c r="A34" s="6" t="s">
        <v>81</v>
      </c>
      <c r="B34" s="5"/>
      <c r="C34" s="5"/>
      <c r="D34" s="5"/>
    </row>
    <row r="35" customFormat="false" ht="15" hidden="false" customHeight="false" outlineLevel="0" collapsed="false">
      <c r="A35" s="8" t="s">
        <v>82</v>
      </c>
      <c r="D35" s="17" t="n">
        <v>200000</v>
      </c>
    </row>
    <row r="36" customFormat="false" ht="15" hidden="false" customHeight="false" outlineLevel="0" collapsed="false">
      <c r="A36" s="8" t="s">
        <v>83</v>
      </c>
      <c r="D36" s="17" t="n">
        <v>300000</v>
      </c>
    </row>
    <row r="37" customFormat="false" ht="15" hidden="false" customHeight="false" outlineLevel="0" collapsed="false">
      <c r="A37" s="8" t="s">
        <v>84</v>
      </c>
      <c r="D37" s="19" t="n">
        <v>0.2</v>
      </c>
    </row>
    <row r="38" customFormat="false" ht="15" hidden="false" customHeight="false" outlineLevel="0" collapsed="false">
      <c r="A38" s="8" t="s">
        <v>85</v>
      </c>
      <c r="D38" s="17" t="n">
        <v>200000</v>
      </c>
    </row>
    <row r="40" customFormat="false" ht="15" hidden="false" customHeight="false" outlineLevel="0" collapsed="false">
      <c r="A40" s="6" t="s">
        <v>86</v>
      </c>
      <c r="B40" s="5"/>
      <c r="C40" s="5"/>
      <c r="D40" s="5"/>
    </row>
    <row r="41" customFormat="false" ht="15" hidden="false" customHeight="false" outlineLevel="0" collapsed="false">
      <c r="A41" s="8" t="s">
        <v>76</v>
      </c>
      <c r="D41" s="20" t="n">
        <f aca="false">D21</f>
        <v>13993000</v>
      </c>
    </row>
    <row r="42" customFormat="false" ht="15" hidden="false" customHeight="false" outlineLevel="0" collapsed="false">
      <c r="A42" s="8" t="s">
        <v>87</v>
      </c>
      <c r="D42" s="20" t="n">
        <f aca="false">D28+D29+D30+D31</f>
        <v>3330000</v>
      </c>
    </row>
    <row r="43" customFormat="false" ht="15" hidden="false" customHeight="false" outlineLevel="0" collapsed="false">
      <c r="A43" s="8" t="s">
        <v>88</v>
      </c>
      <c r="D43" s="20" t="n">
        <f aca="false">D24+D25+D26+D27</f>
        <v>12400000</v>
      </c>
    </row>
    <row r="44" customFormat="false" ht="15" hidden="false" customHeight="false" outlineLevel="0" collapsed="false">
      <c r="A44" s="8" t="s">
        <v>89</v>
      </c>
      <c r="D44" s="20" t="n">
        <f aca="false">D41-D42</f>
        <v>10663000</v>
      </c>
    </row>
    <row r="45" customFormat="false" ht="15" hidden="false" customHeight="false" outlineLevel="0" collapsed="false">
      <c r="A45" s="21" t="s">
        <v>90</v>
      </c>
      <c r="D45" s="22" t="n">
        <f aca="false">D44-D43</f>
        <v>-1737000</v>
      </c>
    </row>
    <row r="46" customFormat="false" ht="15" hidden="false" customHeight="false" outlineLevel="0" collapsed="false">
      <c r="A46" s="8" t="s">
        <v>91</v>
      </c>
      <c r="D46" s="20" t="n">
        <f aca="false">D45*D37</f>
        <v>-347400</v>
      </c>
    </row>
    <row r="47" customFormat="false" ht="15" hidden="false" customHeight="false" outlineLevel="0" collapsed="false">
      <c r="A47" s="8" t="s">
        <v>92</v>
      </c>
      <c r="D47" s="20" t="n">
        <f aca="false">D45-D46</f>
        <v>-1389600</v>
      </c>
    </row>
    <row r="49" customFormat="false" ht="15" hidden="false" customHeight="false" outlineLevel="0" collapsed="false">
      <c r="A49" s="23" t="s">
        <v>93</v>
      </c>
      <c r="B49" s="23"/>
      <c r="C49" s="23"/>
      <c r="D49" s="23"/>
    </row>
  </sheetData>
  <mergeCells count="3">
    <mergeCell ref="A1:D1"/>
    <mergeCell ref="A2:D2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2026-10-20T12:19:45Z</dcterms:created>
  <dc:creator>openpyxl</dc:creator>
  <dc:description/>
  <dc:language>en-US</dc:language>
  <cp:lastModifiedBy/>
  <dcterms:modified xsi:type="dcterms:W3CDTF">2026-10-20T12:19:45Z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